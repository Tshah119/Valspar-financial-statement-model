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FDAP\Documents\Valutaion models\"/>
    </mc:Choice>
  </mc:AlternateContent>
  <xr:revisionPtr revIDLastSave="0" documentId="13_ncr:1_{5755B30C-E5EF-47FA-BC72-3998E1F417A5}" xr6:coauthVersionLast="47" xr6:coauthVersionMax="47" xr10:uidLastSave="{00000000-0000-0000-0000-000000000000}"/>
  <bookViews>
    <workbookView xWindow="-108" yWindow="-108" windowWidth="23256" windowHeight="14856" xr2:uid="{86A8CFD5-6CF6-4177-9D54-8EF28EA9A0D9}"/>
  </bookViews>
  <sheets>
    <sheet name="Model" sheetId="1" r:id="rId1"/>
  </sheet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75" i="1"/>
  <c r="C60" i="1"/>
  <c r="C61" i="1" s="1"/>
  <c r="C5" i="1"/>
  <c r="C82" i="1"/>
  <c r="C10" i="1" l="1"/>
  <c r="C8" i="1"/>
  <c r="C52" i="1" l="1"/>
  <c r="C53" i="1" l="1"/>
  <c r="C54" i="1" s="1"/>
  <c r="D46" i="1"/>
  <c r="F35" i="1"/>
  <c r="F31" i="1"/>
  <c r="F26" i="1"/>
  <c r="F23" i="1"/>
  <c r="F17" i="1"/>
  <c r="F16" i="1" s="1"/>
  <c r="F19" i="1"/>
  <c r="E48" i="1"/>
  <c r="D48" i="1"/>
  <c r="C48" i="1"/>
  <c r="E47" i="1"/>
  <c r="D47" i="1"/>
  <c r="C47" i="1"/>
  <c r="E46" i="1"/>
  <c r="C46" i="1"/>
  <c r="E45" i="1"/>
  <c r="D45" i="1"/>
  <c r="C45" i="1"/>
  <c r="E38" i="1"/>
  <c r="D29" i="1"/>
  <c r="D44" i="1" s="1"/>
  <c r="C29" i="1"/>
  <c r="C44" i="1" s="1"/>
  <c r="E29" i="1"/>
  <c r="E44" i="1" s="1"/>
  <c r="C56" i="1" l="1"/>
  <c r="C63" i="1" s="1"/>
  <c r="C65" i="1" s="1"/>
  <c r="F18" i="1"/>
  <c r="G16" i="1"/>
  <c r="F30" i="1"/>
  <c r="F25" i="1"/>
  <c r="F22" i="1"/>
  <c r="F39" i="1"/>
  <c r="F38" i="1" s="1"/>
  <c r="G23" i="1"/>
  <c r="G26" i="1"/>
  <c r="G25" i="1" l="1"/>
  <c r="H26" i="1" s="1"/>
  <c r="H16" i="1"/>
  <c r="C67" i="1"/>
  <c r="F37" i="1"/>
  <c r="D92" i="1"/>
  <c r="F33" i="1"/>
  <c r="G22" i="1"/>
  <c r="H23" i="1" s="1"/>
  <c r="F40" i="1"/>
  <c r="G39" i="1"/>
  <c r="G38" i="1" s="1"/>
  <c r="H39" i="1" s="1"/>
  <c r="F46" i="1"/>
  <c r="G31" i="1"/>
  <c r="G30" i="1" s="1"/>
  <c r="F29" i="1"/>
  <c r="F21" i="1"/>
  <c r="G19" i="1"/>
  <c r="G18" i="1" s="1"/>
  <c r="H38" i="1" l="1"/>
  <c r="H22" i="1"/>
  <c r="I23" i="1" s="1"/>
  <c r="G29" i="1"/>
  <c r="G44" i="1" s="1"/>
  <c r="F44" i="1"/>
  <c r="D86" i="1" s="1"/>
  <c r="F34" i="1"/>
  <c r="F36" i="1" s="1"/>
  <c r="I16" i="1"/>
  <c r="H25" i="1"/>
  <c r="I26" i="1" s="1"/>
  <c r="I25" i="1" s="1"/>
  <c r="J26" i="1" s="1"/>
  <c r="F48" i="1"/>
  <c r="D91" i="1"/>
  <c r="E86" i="1"/>
  <c r="H31" i="1"/>
  <c r="H30" i="1" s="1"/>
  <c r="E92" i="1"/>
  <c r="F47" i="1"/>
  <c r="D93" i="1"/>
  <c r="G46" i="1"/>
  <c r="G37" i="1"/>
  <c r="G40" i="1"/>
  <c r="G21" i="1"/>
  <c r="H19" i="1"/>
  <c r="H18" i="1" s="1"/>
  <c r="I19" i="1" s="1"/>
  <c r="I18" i="1" s="1"/>
  <c r="G33" i="1"/>
  <c r="H40" i="1"/>
  <c r="I39" i="1"/>
  <c r="I38" i="1" s="1"/>
  <c r="H46" i="1"/>
  <c r="I31" i="1"/>
  <c r="I30" i="1" l="1"/>
  <c r="I37" i="1" s="1"/>
  <c r="H29" i="1"/>
  <c r="J16" i="1"/>
  <c r="I22" i="1"/>
  <c r="J23" i="1" s="1"/>
  <c r="J22" i="1" s="1"/>
  <c r="H21" i="1"/>
  <c r="G92" i="1"/>
  <c r="H48" i="1"/>
  <c r="F91" i="1"/>
  <c r="H37" i="1"/>
  <c r="F92" i="1"/>
  <c r="G48" i="1"/>
  <c r="E91" i="1"/>
  <c r="G47" i="1"/>
  <c r="E93" i="1"/>
  <c r="H44" i="1"/>
  <c r="H33" i="1"/>
  <c r="F45" i="1"/>
  <c r="F49" i="1" s="1"/>
  <c r="D70" i="1" s="1"/>
  <c r="D72" i="1" s="1"/>
  <c r="G35" i="1"/>
  <c r="I40" i="1"/>
  <c r="J39" i="1"/>
  <c r="J38" i="1" s="1"/>
  <c r="J40" i="1" s="1"/>
  <c r="I46" i="1"/>
  <c r="J31" i="1"/>
  <c r="J30" i="1" s="1"/>
  <c r="H92" i="1" s="1"/>
  <c r="I21" i="1"/>
  <c r="J19" i="1"/>
  <c r="G34" i="1" l="1"/>
  <c r="G36" i="1" s="1"/>
  <c r="H35" i="1"/>
  <c r="I35" i="1" s="1"/>
  <c r="J35" i="1" s="1"/>
  <c r="I33" i="1"/>
  <c r="I29" i="1"/>
  <c r="I44" i="1" s="1"/>
  <c r="J18" i="1"/>
  <c r="J21" i="1" s="1"/>
  <c r="J25" i="1"/>
  <c r="G86" i="1"/>
  <c r="F86" i="1"/>
  <c r="H47" i="1"/>
  <c r="F93" i="1"/>
  <c r="J48" i="1"/>
  <c r="H91" i="1"/>
  <c r="I48" i="1"/>
  <c r="G91" i="1"/>
  <c r="I47" i="1"/>
  <c r="G93" i="1"/>
  <c r="J46" i="1"/>
  <c r="J37" i="1"/>
  <c r="J33" i="1"/>
  <c r="H34" i="1" l="1"/>
  <c r="J29" i="1"/>
  <c r="J44" i="1" s="1"/>
  <c r="G45" i="1"/>
  <c r="G49" i="1" s="1"/>
  <c r="E70" i="1" s="1"/>
  <c r="E72" i="1" s="1"/>
  <c r="H86" i="1"/>
  <c r="J47" i="1"/>
  <c r="H93" i="1"/>
  <c r="H45" i="1" l="1"/>
  <c r="H36" i="1"/>
  <c r="H49" i="1" l="1"/>
  <c r="F70" i="1" s="1"/>
  <c r="F72" i="1" s="1"/>
  <c r="I34" i="1"/>
  <c r="J34" i="1" l="1"/>
  <c r="I45" i="1"/>
  <c r="I49" i="1" s="1"/>
  <c r="I36" i="1"/>
  <c r="G70" i="1" l="1"/>
  <c r="G72" i="1" s="1"/>
  <c r="J45" i="1"/>
  <c r="J36" i="1"/>
  <c r="J49" i="1" l="1"/>
  <c r="H70" i="1" s="1"/>
  <c r="H71" i="1" l="1"/>
  <c r="H72" i="1" l="1"/>
  <c r="H81" i="1"/>
  <c r="C74" i="1"/>
  <c r="C76" i="1" s="1"/>
  <c r="D81" i="1"/>
  <c r="G81" i="1"/>
  <c r="G82" i="1" s="1"/>
  <c r="G83" i="1" s="1"/>
  <c r="G87" i="1" s="1"/>
  <c r="G88" i="1" s="1"/>
  <c r="G89" i="1" s="1"/>
  <c r="G90" i="1" s="1"/>
  <c r="H82" i="1"/>
  <c r="H94" i="1" s="1"/>
  <c r="E81" i="1"/>
  <c r="E82" i="1" s="1"/>
  <c r="E83" i="1" s="1"/>
  <c r="E87" i="1" s="1"/>
  <c r="E88" i="1" s="1"/>
  <c r="E89" i="1" s="1"/>
  <c r="E90" i="1" s="1"/>
  <c r="F81" i="1"/>
  <c r="F82" i="1" s="1"/>
  <c r="F83" i="1" s="1"/>
  <c r="F87" i="1" s="1"/>
  <c r="F88" i="1" s="1"/>
  <c r="F89" i="1" s="1"/>
  <c r="F90" i="1" s="1"/>
  <c r="F94" i="1"/>
  <c r="F95" i="1" s="1"/>
  <c r="F97" i="1" s="1"/>
  <c r="C78" i="1"/>
  <c r="C103" i="1" s="1"/>
  <c r="H83" i="1"/>
  <c r="H87" i="1" s="1"/>
  <c r="H88" i="1" s="1"/>
  <c r="H89" i="1" s="1"/>
  <c r="H90" i="1" s="1"/>
  <c r="H95" i="1" s="1"/>
  <c r="D82" i="1" l="1"/>
  <c r="E94" i="1" s="1"/>
  <c r="E95" i="1" s="1"/>
  <c r="E97" i="1" s="1"/>
  <c r="G94" i="1"/>
  <c r="G95" i="1" s="1"/>
  <c r="G97" i="1" s="1"/>
  <c r="D94" i="1"/>
  <c r="C81" i="1"/>
  <c r="H96" i="1"/>
  <c r="H97" i="1" s="1"/>
  <c r="D83" i="1" l="1"/>
  <c r="D87" i="1" s="1"/>
  <c r="D88" i="1" s="1"/>
  <c r="D89" i="1" s="1"/>
  <c r="D90" i="1" s="1"/>
  <c r="D95" i="1" s="1"/>
  <c r="D97" i="1" s="1"/>
  <c r="C99" i="1" l="1"/>
  <c r="C101" i="1" s="1"/>
</calcChain>
</file>

<file path=xl/sharedStrings.xml><?xml version="1.0" encoding="utf-8"?>
<sst xmlns="http://schemas.openxmlformats.org/spreadsheetml/2006/main" count="85" uniqueCount="76">
  <si>
    <t>Net Sales</t>
  </si>
  <si>
    <t>Cost of Sales</t>
  </si>
  <si>
    <t>SG&amp;A Margin</t>
  </si>
  <si>
    <t>Gross Profit</t>
  </si>
  <si>
    <t>Research and Development</t>
  </si>
  <si>
    <t>Selling, General, and Administrative</t>
  </si>
  <si>
    <t>Depreciation</t>
  </si>
  <si>
    <t>Earnings Before Tax</t>
  </si>
  <si>
    <t>Income Taxes</t>
  </si>
  <si>
    <t>Depreciation Margin</t>
  </si>
  <si>
    <t>Sales Growth</t>
  </si>
  <si>
    <t>Tax Rate</t>
  </si>
  <si>
    <t>Capex</t>
  </si>
  <si>
    <t>EBIT</t>
  </si>
  <si>
    <t>Interest expense</t>
  </si>
  <si>
    <t>FCF</t>
  </si>
  <si>
    <t>Change in NWC</t>
  </si>
  <si>
    <t>(-) Income Taxes</t>
  </si>
  <si>
    <t>(+) Depreciation</t>
  </si>
  <si>
    <t>(-) Capex</t>
  </si>
  <si>
    <t>(-) Change in NWC</t>
  </si>
  <si>
    <t>Cost of Sales Margin</t>
  </si>
  <si>
    <t>R&amp;D Margin</t>
  </si>
  <si>
    <t>Working Capital Margin</t>
  </si>
  <si>
    <t>Working Capital</t>
  </si>
  <si>
    <t>Debt/total capital</t>
  </si>
  <si>
    <t>Net Income</t>
  </si>
  <si>
    <t>Rd</t>
  </si>
  <si>
    <t xml:space="preserve">Tax rate </t>
  </si>
  <si>
    <t>Risk Free Rate</t>
  </si>
  <si>
    <t>Market risk Premium</t>
  </si>
  <si>
    <t xml:space="preserve">Levered Beta </t>
  </si>
  <si>
    <t>Terminal Growth Rate</t>
  </si>
  <si>
    <t>Current level of Debt</t>
  </si>
  <si>
    <t>Unlevered Beta:</t>
  </si>
  <si>
    <t>Equity</t>
  </si>
  <si>
    <t>D/E</t>
  </si>
  <si>
    <t>Unlevered Beta</t>
  </si>
  <si>
    <t>Assumed Debt/Value</t>
  </si>
  <si>
    <t>Cost of Equity</t>
  </si>
  <si>
    <t>WACC</t>
  </si>
  <si>
    <t>Terminal Value</t>
  </si>
  <si>
    <t>FCF + TV</t>
  </si>
  <si>
    <t>Value of firm</t>
  </si>
  <si>
    <t>Less: Debt</t>
  </si>
  <si>
    <t>Implied Debt/Value</t>
  </si>
  <si>
    <t>Equity Valuation:</t>
  </si>
  <si>
    <t>Value of Firm</t>
  </si>
  <si>
    <t>Debt Outstanding</t>
  </si>
  <si>
    <t>Interest</t>
  </si>
  <si>
    <t>Equity Cash Flows:</t>
  </si>
  <si>
    <t>Less: Interest</t>
  </si>
  <si>
    <t>EBT</t>
  </si>
  <si>
    <t>Less: Taxes</t>
  </si>
  <si>
    <t>Less: Change in NWC</t>
  </si>
  <si>
    <t>Add: Depreciation</t>
  </si>
  <si>
    <t>Less: CAPEX</t>
  </si>
  <si>
    <t>Add: Increases in Debt</t>
  </si>
  <si>
    <t>Free Cash Flow to Equity</t>
  </si>
  <si>
    <t>Equity Cash Flow + TV</t>
  </si>
  <si>
    <t>Value of Equity</t>
  </si>
  <si>
    <t>Plus: Debt</t>
  </si>
  <si>
    <t>DCF Valuation:</t>
  </si>
  <si>
    <t>20-year treasury bond rate</t>
  </si>
  <si>
    <t>Average returns S&amp;P 500 - 20-year average return on treasury</t>
  </si>
  <si>
    <t>FCF to Entity</t>
  </si>
  <si>
    <t>SG&amp;A Cost Savings</t>
  </si>
  <si>
    <t>Manufacturing Cost Savings</t>
  </si>
  <si>
    <t>R&amp;D Savings</t>
  </si>
  <si>
    <t>COGS Cost Savings</t>
  </si>
  <si>
    <t>Add: excess Cash</t>
  </si>
  <si>
    <t>Debt/Value</t>
  </si>
  <si>
    <t>Relevered Beta</t>
  </si>
  <si>
    <t>Difference</t>
  </si>
  <si>
    <t>Valspar Internally Consistent Valuation Model</t>
  </si>
  <si>
    <t>Fiscal Year Ending ($MMs)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</si>
</sst>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&quot;$&quot;#,##0.00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i/>
      <sz val="10"/>
      <color theme="8" tint="-0.249977111117893"/>
      <name val="Arial"/>
      <family val="2"/>
    </font>
    <font>
      <i/>
      <sz val="11"/>
      <color theme="8" tint="-0.249977111117893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5" tint="-0.249977111117893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i/>
      <sz val="10"/>
      <color theme="8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9" fontId="2" fillId="0" borderId="0" applyFont="0" applyFill="0" applyBorder="0" applyAlignment="0" applyProtection="0"/>
  </cellStyleXfs>
  <cellXfs count="137">
    <xf numFmtId="0" fontId="0" fillId="0" borderId="0" xfId="0"/>
    <xf numFmtId="0" fontId="0" fillId="2" borderId="0" xfId="0" applyFill="1"/>
    <xf numFmtId="3" fontId="4" fillId="2" borderId="1" xfId="0" applyNumberFormat="1" applyFont="1" applyFill="1" applyBorder="1" applyAlignment="1">
      <alignment vertical="top"/>
    </xf>
    <xf numFmtId="0" fontId="0" fillId="2" borderId="10" xfId="0" applyFill="1" applyBorder="1"/>
    <xf numFmtId="0" fontId="0" fillId="2" borderId="11" xfId="0" applyFill="1" applyBorder="1"/>
    <xf numFmtId="3" fontId="3" fillId="2" borderId="0" xfId="0" applyNumberFormat="1" applyFont="1" applyFill="1" applyAlignment="1">
      <alignment horizontal="center" vertical="top"/>
    </xf>
    <xf numFmtId="1" fontId="2" fillId="2" borderId="0" xfId="0" applyNumberFormat="1" applyFont="1" applyFill="1" applyAlignment="1">
      <alignment horizontal="center" vertical="top"/>
    </xf>
    <xf numFmtId="0" fontId="0" fillId="2" borderId="12" xfId="0" applyFill="1" applyBorder="1"/>
    <xf numFmtId="10" fontId="0" fillId="2" borderId="13" xfId="1" applyNumberFormat="1" applyFont="1" applyFill="1" applyBorder="1"/>
    <xf numFmtId="0" fontId="0" fillId="2" borderId="2" xfId="0" applyFill="1" applyBorder="1"/>
    <xf numFmtId="10" fontId="0" fillId="2" borderId="7" xfId="0" applyNumberFormat="1" applyFill="1" applyBorder="1"/>
    <xf numFmtId="165" fontId="0" fillId="2" borderId="7" xfId="0" applyNumberFormat="1" applyFill="1" applyBorder="1"/>
    <xf numFmtId="9" fontId="0" fillId="2" borderId="7" xfId="1" applyFont="1" applyFill="1" applyBorder="1"/>
    <xf numFmtId="0" fontId="6" fillId="2" borderId="0" xfId="0" applyFont="1" applyFill="1"/>
    <xf numFmtId="10" fontId="0" fillId="2" borderId="7" xfId="1" applyNumberFormat="1" applyFont="1" applyFill="1" applyBorder="1"/>
    <xf numFmtId="0" fontId="7" fillId="2" borderId="0" xfId="0" applyFont="1" applyFill="1"/>
    <xf numFmtId="0" fontId="0" fillId="2" borderId="7" xfId="0" applyFill="1" applyBorder="1"/>
    <xf numFmtId="0" fontId="2" fillId="2" borderId="4" xfId="0" applyFont="1" applyFill="1" applyBorder="1"/>
    <xf numFmtId="10" fontId="0" fillId="2" borderId="8" xfId="0" applyNumberFormat="1" applyFill="1" applyBorder="1"/>
    <xf numFmtId="3" fontId="2" fillId="2" borderId="7" xfId="0" applyNumberFormat="1" applyFont="1" applyFill="1" applyBorder="1" applyAlignment="1">
      <alignment vertical="top"/>
    </xf>
    <xf numFmtId="3" fontId="3" fillId="2" borderId="2" xfId="0" applyNumberFormat="1" applyFont="1" applyFill="1" applyBorder="1" applyAlignment="1">
      <alignment vertical="top"/>
    </xf>
    <xf numFmtId="3" fontId="3" fillId="2" borderId="0" xfId="0" applyNumberFormat="1" applyFont="1" applyFill="1" applyAlignment="1">
      <alignment vertical="top"/>
    </xf>
    <xf numFmtId="3" fontId="3" fillId="2" borderId="3" xfId="0" applyNumberFormat="1" applyFont="1" applyFill="1" applyBorder="1" applyAlignment="1">
      <alignment vertical="top"/>
    </xf>
    <xf numFmtId="165" fontId="0" fillId="2" borderId="0" xfId="2" applyNumberFormat="1" applyFont="1" applyFill="1" applyBorder="1"/>
    <xf numFmtId="165" fontId="0" fillId="2" borderId="0" xfId="0" applyNumberFormat="1" applyFill="1"/>
    <xf numFmtId="165" fontId="0" fillId="2" borderId="3" xfId="0" applyNumberFormat="1" applyFill="1" applyBorder="1"/>
    <xf numFmtId="3" fontId="5" fillId="2" borderId="7" xfId="0" applyNumberFormat="1" applyFont="1" applyFill="1" applyBorder="1" applyAlignment="1">
      <alignment vertical="top"/>
    </xf>
    <xf numFmtId="3" fontId="5" fillId="2" borderId="2" xfId="0" applyNumberFormat="1" applyFont="1" applyFill="1" applyBorder="1" applyAlignment="1">
      <alignment vertical="top"/>
    </xf>
    <xf numFmtId="3" fontId="5" fillId="2" borderId="0" xfId="0" applyNumberFormat="1" applyFont="1" applyFill="1" applyAlignment="1">
      <alignment vertical="top"/>
    </xf>
    <xf numFmtId="3" fontId="5" fillId="2" borderId="3" xfId="0" applyNumberFormat="1" applyFont="1" applyFill="1" applyBorder="1" applyAlignment="1">
      <alignment vertical="top"/>
    </xf>
    <xf numFmtId="9" fontId="6" fillId="2" borderId="0" xfId="0" applyNumberFormat="1" applyFont="1" applyFill="1"/>
    <xf numFmtId="9" fontId="6" fillId="2" borderId="3" xfId="0" applyNumberFormat="1" applyFont="1" applyFill="1" applyBorder="1"/>
    <xf numFmtId="165" fontId="0" fillId="2" borderId="3" xfId="2" applyNumberFormat="1" applyFont="1" applyFill="1" applyBorder="1"/>
    <xf numFmtId="9" fontId="6" fillId="2" borderId="0" xfId="1" applyFont="1" applyFill="1" applyBorder="1"/>
    <xf numFmtId="9" fontId="6" fillId="2" borderId="3" xfId="1" applyFont="1" applyFill="1" applyBorder="1"/>
    <xf numFmtId="0" fontId="11" fillId="2" borderId="0" xfId="0" applyFont="1" applyFill="1"/>
    <xf numFmtId="3" fontId="9" fillId="2" borderId="7" xfId="0" applyNumberFormat="1" applyFont="1" applyFill="1" applyBorder="1" applyAlignment="1">
      <alignment vertical="top"/>
    </xf>
    <xf numFmtId="3" fontId="10" fillId="2" borderId="2" xfId="0" applyNumberFormat="1" applyFont="1" applyFill="1" applyBorder="1" applyAlignment="1">
      <alignment vertical="top"/>
    </xf>
    <xf numFmtId="3" fontId="10" fillId="2" borderId="0" xfId="0" applyNumberFormat="1" applyFont="1" applyFill="1" applyAlignment="1">
      <alignment vertical="top"/>
    </xf>
    <xf numFmtId="3" fontId="10" fillId="2" borderId="3" xfId="0" applyNumberFormat="1" applyFont="1" applyFill="1" applyBorder="1" applyAlignment="1">
      <alignment vertical="top"/>
    </xf>
    <xf numFmtId="9" fontId="11" fillId="2" borderId="0" xfId="1" applyFont="1" applyFill="1" applyBorder="1"/>
    <xf numFmtId="6" fontId="8" fillId="2" borderId="0" xfId="1" applyNumberFormat="1" applyFont="1" applyFill="1" applyBorder="1"/>
    <xf numFmtId="6" fontId="8" fillId="2" borderId="3" xfId="1" applyNumberFormat="1" applyFont="1" applyFill="1" applyBorder="1"/>
    <xf numFmtId="0" fontId="8" fillId="2" borderId="0" xfId="0" applyFont="1" applyFill="1"/>
    <xf numFmtId="3" fontId="9" fillId="2" borderId="2" xfId="0" applyNumberFormat="1" applyFont="1" applyFill="1" applyBorder="1" applyAlignment="1">
      <alignment vertical="top"/>
    </xf>
    <xf numFmtId="3" fontId="9" fillId="2" borderId="0" xfId="0" applyNumberFormat="1" applyFont="1" applyFill="1" applyAlignment="1">
      <alignment vertical="top"/>
    </xf>
    <xf numFmtId="3" fontId="9" fillId="2" borderId="3" xfId="0" applyNumberFormat="1" applyFont="1" applyFill="1" applyBorder="1" applyAlignment="1">
      <alignment vertical="top"/>
    </xf>
    <xf numFmtId="9" fontId="8" fillId="2" borderId="0" xfId="1" applyFont="1" applyFill="1" applyBorder="1"/>
    <xf numFmtId="3" fontId="3" fillId="2" borderId="7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right" vertical="top"/>
    </xf>
    <xf numFmtId="3" fontId="2" fillId="2" borderId="0" xfId="0" applyNumberFormat="1" applyFont="1" applyFill="1" applyAlignment="1">
      <alignment horizontal="right" vertical="top"/>
    </xf>
    <xf numFmtId="3" fontId="2" fillId="2" borderId="3" xfId="0" applyNumberFormat="1" applyFont="1" applyFill="1" applyBorder="1" applyAlignment="1">
      <alignment horizontal="right" vertical="top"/>
    </xf>
    <xf numFmtId="3" fontId="3" fillId="2" borderId="7" xfId="0" quotePrefix="1" applyNumberFormat="1" applyFont="1" applyFill="1" applyBorder="1" applyAlignment="1">
      <alignment vertical="top"/>
    </xf>
    <xf numFmtId="3" fontId="5" fillId="2" borderId="7" xfId="0" quotePrefix="1" applyNumberFormat="1" applyFont="1" applyFill="1" applyBorder="1" applyAlignment="1">
      <alignment vertical="top"/>
    </xf>
    <xf numFmtId="3" fontId="5" fillId="2" borderId="2" xfId="0" applyNumberFormat="1" applyFont="1" applyFill="1" applyBorder="1" applyAlignment="1">
      <alignment horizontal="right" vertical="top"/>
    </xf>
    <xf numFmtId="3" fontId="5" fillId="2" borderId="0" xfId="0" applyNumberFormat="1" applyFont="1" applyFill="1" applyAlignment="1">
      <alignment horizontal="right" vertical="top"/>
    </xf>
    <xf numFmtId="3" fontId="5" fillId="2" borderId="3" xfId="0" applyNumberFormat="1" applyFont="1" applyFill="1" applyBorder="1" applyAlignment="1">
      <alignment horizontal="right" vertical="top"/>
    </xf>
    <xf numFmtId="3" fontId="2" fillId="2" borderId="7" xfId="0" quotePrefix="1" applyNumberFormat="1" applyFont="1" applyFill="1" applyBorder="1" applyAlignment="1">
      <alignment vertical="top"/>
    </xf>
    <xf numFmtId="165" fontId="0" fillId="2" borderId="0" xfId="1" applyNumberFormat="1" applyFont="1" applyFill="1" applyBorder="1"/>
    <xf numFmtId="165" fontId="0" fillId="2" borderId="3" xfId="1" applyNumberFormat="1" applyFont="1" applyFill="1" applyBorder="1"/>
    <xf numFmtId="0" fontId="0" fillId="2" borderId="3" xfId="0" applyFill="1" applyBorder="1"/>
    <xf numFmtId="3" fontId="0" fillId="2" borderId="3" xfId="0" applyNumberFormat="1" applyFill="1" applyBorder="1"/>
    <xf numFmtId="0" fontId="6" fillId="2" borderId="2" xfId="0" applyFont="1" applyFill="1" applyBorder="1"/>
    <xf numFmtId="3" fontId="6" fillId="2" borderId="3" xfId="0" applyNumberFormat="1" applyFont="1" applyFill="1" applyBorder="1"/>
    <xf numFmtId="3" fontId="2" fillId="2" borderId="8" xfId="0" quotePrefix="1" applyNumberFormat="1" applyFont="1" applyFill="1" applyBorder="1" applyAlignment="1">
      <alignment vertical="top"/>
    </xf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/>
    <xf numFmtId="165" fontId="0" fillId="2" borderId="6" xfId="0" applyNumberFormat="1" applyFill="1" applyBorder="1"/>
    <xf numFmtId="165" fontId="0" fillId="2" borderId="5" xfId="0" applyNumberFormat="1" applyFill="1" applyBorder="1"/>
    <xf numFmtId="0" fontId="0" fillId="2" borderId="1" xfId="0" applyFill="1" applyBorder="1"/>
    <xf numFmtId="165" fontId="2" fillId="2" borderId="0" xfId="2" applyNumberFormat="1" applyFont="1" applyFill="1" applyAlignment="1">
      <alignment horizontal="right" vertical="top"/>
    </xf>
    <xf numFmtId="165" fontId="2" fillId="2" borderId="3" xfId="2" applyNumberFormat="1" applyFont="1" applyFill="1" applyBorder="1" applyAlignment="1">
      <alignment horizontal="right" vertical="top"/>
    </xf>
    <xf numFmtId="3" fontId="0" fillId="2" borderId="7" xfId="0" quotePrefix="1" applyNumberFormat="1" applyFill="1" applyBorder="1"/>
    <xf numFmtId="3" fontId="0" fillId="2" borderId="2" xfId="0" applyNumberFormat="1" applyFill="1" applyBorder="1"/>
    <xf numFmtId="3" fontId="0" fillId="2" borderId="0" xfId="0" applyNumberFormat="1" applyFill="1"/>
    <xf numFmtId="3" fontId="0" fillId="2" borderId="8" xfId="0" quotePrefix="1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5" xfId="0" applyNumberFormat="1" applyFill="1" applyBorder="1"/>
    <xf numFmtId="0" fontId="0" fillId="2" borderId="8" xfId="0" applyFill="1" applyBorder="1"/>
    <xf numFmtId="10" fontId="0" fillId="2" borderId="3" xfId="0" applyNumberFormat="1" applyFill="1" applyBorder="1"/>
    <xf numFmtId="0" fontId="0" fillId="2" borderId="13" xfId="0" applyFill="1" applyBorder="1"/>
    <xf numFmtId="165" fontId="0" fillId="2" borderId="10" xfId="0" applyNumberFormat="1" applyFill="1" applyBorder="1"/>
    <xf numFmtId="165" fontId="0" fillId="2" borderId="11" xfId="0" applyNumberFormat="1" applyFill="1" applyBorder="1"/>
    <xf numFmtId="8" fontId="0" fillId="2" borderId="3" xfId="0" applyNumberFormat="1" applyFill="1" applyBorder="1" applyAlignment="1">
      <alignment horizontal="right"/>
    </xf>
    <xf numFmtId="8" fontId="0" fillId="2" borderId="0" xfId="0" applyNumberFormat="1" applyFill="1"/>
    <xf numFmtId="8" fontId="0" fillId="2" borderId="3" xfId="0" applyNumberFormat="1" applyFill="1" applyBorder="1"/>
    <xf numFmtId="8" fontId="0" fillId="2" borderId="6" xfId="0" applyNumberFormat="1" applyFill="1" applyBorder="1"/>
    <xf numFmtId="8" fontId="0" fillId="2" borderId="5" xfId="0" applyNumberFormat="1" applyFill="1" applyBorder="1"/>
    <xf numFmtId="8" fontId="0" fillId="2" borderId="10" xfId="0" applyNumberFormat="1" applyFill="1" applyBorder="1"/>
    <xf numFmtId="8" fontId="0" fillId="2" borderId="11" xfId="0" applyNumberFormat="1" applyFill="1" applyBorder="1"/>
    <xf numFmtId="8" fontId="0" fillId="2" borderId="14" xfId="0" applyNumberFormat="1" applyFill="1" applyBorder="1"/>
    <xf numFmtId="166" fontId="0" fillId="2" borderId="3" xfId="0" applyNumberFormat="1" applyFill="1" applyBorder="1"/>
    <xf numFmtId="2" fontId="12" fillId="2" borderId="1" xfId="1" applyNumberFormat="1" applyFont="1" applyFill="1" applyBorder="1"/>
    <xf numFmtId="0" fontId="14" fillId="2" borderId="9" xfId="0" applyFont="1" applyFill="1" applyBorder="1" applyAlignment="1">
      <alignment vertical="top"/>
    </xf>
    <xf numFmtId="0" fontId="14" fillId="2" borderId="10" xfId="0" applyFont="1" applyFill="1" applyBorder="1" applyAlignment="1">
      <alignment vertical="top"/>
    </xf>
    <xf numFmtId="0" fontId="14" fillId="2" borderId="11" xfId="0" applyFont="1" applyFill="1" applyBorder="1" applyAlignment="1">
      <alignment vertical="top"/>
    </xf>
    <xf numFmtId="1" fontId="15" fillId="2" borderId="10" xfId="0" applyNumberFormat="1" applyFont="1" applyFill="1" applyBorder="1" applyAlignment="1">
      <alignment vertical="top"/>
    </xf>
    <xf numFmtId="1" fontId="15" fillId="2" borderId="11" xfId="0" applyNumberFormat="1" applyFont="1" applyFill="1" applyBorder="1" applyAlignment="1">
      <alignment vertical="top"/>
    </xf>
    <xf numFmtId="3" fontId="15" fillId="2" borderId="1" xfId="0" applyNumberFormat="1" applyFont="1" applyFill="1" applyBorder="1" applyAlignment="1">
      <alignment vertical="top"/>
    </xf>
    <xf numFmtId="0" fontId="13" fillId="2" borderId="1" xfId="0" applyFont="1" applyFill="1" applyBorder="1"/>
    <xf numFmtId="8" fontId="13" fillId="2" borderId="10" xfId="0" applyNumberFormat="1" applyFont="1" applyFill="1" applyBorder="1"/>
    <xf numFmtId="8" fontId="13" fillId="2" borderId="11" xfId="0" applyNumberFormat="1" applyFont="1" applyFill="1" applyBorder="1"/>
    <xf numFmtId="8" fontId="0" fillId="2" borderId="7" xfId="0" applyNumberFormat="1" applyFill="1" applyBorder="1"/>
    <xf numFmtId="166" fontId="0" fillId="2" borderId="7" xfId="2" applyNumberFormat="1" applyFont="1" applyFill="1" applyBorder="1"/>
    <xf numFmtId="0" fontId="13" fillId="2" borderId="8" xfId="0" applyFont="1" applyFill="1" applyBorder="1"/>
    <xf numFmtId="0" fontId="14" fillId="2" borderId="1" xfId="4" applyFont="1" applyFill="1" applyBorder="1" applyAlignment="1">
      <alignment horizontal="left"/>
    </xf>
    <xf numFmtId="0" fontId="13" fillId="2" borderId="0" xfId="0" applyFont="1" applyFill="1"/>
    <xf numFmtId="0" fontId="13" fillId="2" borderId="9" xfId="0" applyFont="1" applyFill="1" applyBorder="1"/>
    <xf numFmtId="0" fontId="13" fillId="2" borderId="10" xfId="0" applyFont="1" applyFill="1" applyBorder="1"/>
    <xf numFmtId="0" fontId="13" fillId="2" borderId="11" xfId="0" applyFont="1" applyFill="1" applyBorder="1"/>
    <xf numFmtId="0" fontId="13" fillId="2" borderId="4" xfId="0" applyFont="1" applyFill="1" applyBorder="1"/>
    <xf numFmtId="0" fontId="13" fillId="2" borderId="6" xfId="0" applyFont="1" applyFill="1" applyBorder="1"/>
    <xf numFmtId="0" fontId="13" fillId="2" borderId="5" xfId="0" applyFont="1" applyFill="1" applyBorder="1"/>
    <xf numFmtId="165" fontId="13" fillId="2" borderId="6" xfId="0" applyNumberFormat="1" applyFont="1" applyFill="1" applyBorder="1"/>
    <xf numFmtId="3" fontId="14" fillId="2" borderId="9" xfId="0" applyNumberFormat="1" applyFont="1" applyFill="1" applyBorder="1" applyAlignment="1">
      <alignment vertical="top"/>
    </xf>
    <xf numFmtId="3" fontId="14" fillId="2" borderId="10" xfId="0" applyNumberFormat="1" applyFont="1" applyFill="1" applyBorder="1" applyAlignment="1">
      <alignment vertical="top"/>
    </xf>
    <xf numFmtId="3" fontId="14" fillId="2" borderId="11" xfId="0" applyNumberFormat="1" applyFont="1" applyFill="1" applyBorder="1" applyAlignment="1">
      <alignment vertical="top"/>
    </xf>
    <xf numFmtId="165" fontId="13" fillId="2" borderId="10" xfId="0" applyNumberFormat="1" applyFont="1" applyFill="1" applyBorder="1"/>
    <xf numFmtId="165" fontId="13" fillId="2" borderId="11" xfId="0" applyNumberFormat="1" applyFont="1" applyFill="1" applyBorder="1"/>
    <xf numFmtId="3" fontId="14" fillId="2" borderId="1" xfId="0" applyNumberFormat="1" applyFont="1" applyFill="1" applyBorder="1" applyAlignment="1">
      <alignment vertical="top"/>
    </xf>
    <xf numFmtId="3" fontId="15" fillId="2" borderId="9" xfId="0" applyNumberFormat="1" applyFont="1" applyFill="1" applyBorder="1" applyAlignment="1">
      <alignment horizontal="right" vertical="top"/>
    </xf>
    <xf numFmtId="3" fontId="15" fillId="2" borderId="10" xfId="0" applyNumberFormat="1" applyFont="1" applyFill="1" applyBorder="1" applyAlignment="1">
      <alignment horizontal="right" vertical="top"/>
    </xf>
    <xf numFmtId="3" fontId="15" fillId="2" borderId="11" xfId="0" applyNumberFormat="1" applyFont="1" applyFill="1" applyBorder="1" applyAlignment="1">
      <alignment horizontal="right" vertical="top"/>
    </xf>
    <xf numFmtId="165" fontId="15" fillId="2" borderId="10" xfId="0" applyNumberFormat="1" applyFont="1" applyFill="1" applyBorder="1" applyAlignment="1">
      <alignment horizontal="right" vertical="top"/>
    </xf>
    <xf numFmtId="165" fontId="15" fillId="2" borderId="11" xfId="0" applyNumberFormat="1" applyFont="1" applyFill="1" applyBorder="1" applyAlignment="1">
      <alignment horizontal="right" vertical="top"/>
    </xf>
    <xf numFmtId="3" fontId="14" fillId="2" borderId="1" xfId="0" quotePrefix="1" applyNumberFormat="1" applyFont="1" applyFill="1" applyBorder="1" applyAlignment="1">
      <alignment vertical="top"/>
    </xf>
    <xf numFmtId="3" fontId="17" fillId="2" borderId="9" xfId="0" applyNumberFormat="1" applyFont="1" applyFill="1" applyBorder="1" applyAlignment="1">
      <alignment vertical="top"/>
    </xf>
    <xf numFmtId="3" fontId="17" fillId="2" borderId="10" xfId="0" applyNumberFormat="1" applyFont="1" applyFill="1" applyBorder="1" applyAlignment="1">
      <alignment vertical="top"/>
    </xf>
    <xf numFmtId="3" fontId="17" fillId="2" borderId="11" xfId="0" applyNumberFormat="1" applyFont="1" applyFill="1" applyBorder="1" applyAlignment="1">
      <alignment vertical="top"/>
    </xf>
    <xf numFmtId="165" fontId="13" fillId="2" borderId="10" xfId="1" applyNumberFormat="1" applyFont="1" applyFill="1" applyBorder="1"/>
    <xf numFmtId="165" fontId="13" fillId="2" borderId="11" xfId="1" applyNumberFormat="1" applyFont="1" applyFill="1" applyBorder="1"/>
    <xf numFmtId="10" fontId="13" fillId="2" borderId="11" xfId="0" applyNumberFormat="1" applyFont="1" applyFill="1" applyBorder="1"/>
    <xf numFmtId="8" fontId="0" fillId="2" borderId="11" xfId="0" applyNumberFormat="1" applyFill="1" applyBorder="1" applyAlignment="1">
      <alignment horizontal="right"/>
    </xf>
    <xf numFmtId="10" fontId="0" fillId="2" borderId="11" xfId="1" applyNumberFormat="1" applyFont="1" applyFill="1" applyBorder="1"/>
    <xf numFmtId="8" fontId="0" fillId="2" borderId="0" xfId="0" applyNumberFormat="1" applyFill="1" applyBorder="1"/>
  </cellXfs>
  <cellStyles count="9">
    <cellStyle name="******************************************" xfId="4" xr:uid="{A365FEBD-F635-42C5-BA7B-A4ECAC600526}"/>
    <cellStyle name="Comma 2" xfId="5" xr:uid="{928AD73E-958F-4A0D-BA7D-AE36B624524D}"/>
    <cellStyle name="Currency" xfId="2" builtinId="4"/>
    <cellStyle name="Currency 2" xfId="6" xr:uid="{5CCB56E4-FF9C-45B1-B622-75202DF3B021}"/>
    <cellStyle name="Normal" xfId="0" builtinId="0"/>
    <cellStyle name="Normal 2" xfId="3" xr:uid="{8F06932D-DD08-483C-82AE-98E557794138}"/>
    <cellStyle name="Normal 5" xfId="7" xr:uid="{64670FCD-D3D5-4BAB-861A-3FC68C748D9B}"/>
    <cellStyle name="Percent" xfId="1" builtinId="5"/>
    <cellStyle name="Percent 2" xfId="8" xr:uid="{2484C3E0-AEAB-4499-96CD-260B60CA9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AB43-839A-4B4F-AB6F-07943844CDB1}">
  <dimension ref="B1:J105"/>
  <sheetViews>
    <sheetView tabSelected="1" topLeftCell="A86" zoomScale="121" workbookViewId="0">
      <selection activeCell="F105" sqref="F105"/>
    </sheetView>
  </sheetViews>
  <sheetFormatPr defaultRowHeight="14.4" x14ac:dyDescent="0.3"/>
  <cols>
    <col min="1" max="1" width="8.88671875" style="1"/>
    <col min="2" max="2" width="31.77734375" style="1" customWidth="1"/>
    <col min="3" max="3" width="20.6640625" style="1" bestFit="1" customWidth="1"/>
    <col min="4" max="4" width="19.109375" style="1" customWidth="1"/>
    <col min="5" max="5" width="16.6640625" style="1" customWidth="1"/>
    <col min="6" max="6" width="15.77734375" style="1" customWidth="1"/>
    <col min="7" max="7" width="14.6640625" style="1" bestFit="1" customWidth="1"/>
    <col min="8" max="8" width="15.44140625" style="1" bestFit="1" customWidth="1"/>
    <col min="9" max="10" width="14.33203125" style="1" bestFit="1" customWidth="1"/>
    <col min="11" max="16384" width="8.88671875" style="1"/>
  </cols>
  <sheetData>
    <row r="1" spans="2:10" ht="15" thickBot="1" x14ac:dyDescent="0.35"/>
    <row r="2" spans="2:10" ht="18.600000000000001" customHeight="1" thickBot="1" x14ac:dyDescent="0.35">
      <c r="B2" s="2" t="s">
        <v>74</v>
      </c>
      <c r="C2" s="3"/>
      <c r="D2" s="4"/>
    </row>
    <row r="3" spans="2:10" x14ac:dyDescent="0.3">
      <c r="C3" s="5"/>
      <c r="D3" s="5"/>
      <c r="E3" s="5"/>
      <c r="F3" s="6"/>
      <c r="G3" s="6"/>
      <c r="H3" s="6"/>
      <c r="I3" s="6"/>
      <c r="J3" s="6"/>
    </row>
    <row r="4" spans="2:10" ht="15" thickBot="1" x14ac:dyDescent="0.35"/>
    <row r="5" spans="2:10" x14ac:dyDescent="0.3">
      <c r="B5" s="7" t="s">
        <v>25</v>
      </c>
      <c r="C5" s="8">
        <f>2047/7941</f>
        <v>0.25777609872811991</v>
      </c>
    </row>
    <row r="6" spans="2:10" x14ac:dyDescent="0.3">
      <c r="B6" s="9" t="s">
        <v>27</v>
      </c>
      <c r="C6" s="10">
        <v>4.4999999999999998E-2</v>
      </c>
    </row>
    <row r="7" spans="2:10" x14ac:dyDescent="0.3">
      <c r="B7" s="9" t="s">
        <v>33</v>
      </c>
      <c r="C7" s="11">
        <v>2046700</v>
      </c>
    </row>
    <row r="8" spans="2:10" x14ac:dyDescent="0.3">
      <c r="B8" s="9" t="s">
        <v>28</v>
      </c>
      <c r="C8" s="12">
        <f>E34/E33</f>
        <v>0.29140601027667562</v>
      </c>
    </row>
    <row r="9" spans="2:10" s="13" customFormat="1" x14ac:dyDescent="0.3">
      <c r="B9" s="9" t="s">
        <v>29</v>
      </c>
      <c r="C9" s="10">
        <v>2.3599999999999999E-2</v>
      </c>
      <c r="D9" s="13" t="s">
        <v>63</v>
      </c>
    </row>
    <row r="10" spans="2:10" x14ac:dyDescent="0.3">
      <c r="B10" s="9" t="s">
        <v>30</v>
      </c>
      <c r="C10" s="14">
        <f>11.4%-5.6%</f>
        <v>5.800000000000001E-2</v>
      </c>
      <c r="D10" s="15" t="s">
        <v>64</v>
      </c>
    </row>
    <row r="11" spans="2:10" s="13" customFormat="1" x14ac:dyDescent="0.3">
      <c r="B11" s="9" t="s">
        <v>31</v>
      </c>
      <c r="C11" s="16">
        <v>1.24</v>
      </c>
    </row>
    <row r="12" spans="2:10" ht="15" thickBot="1" x14ac:dyDescent="0.35">
      <c r="B12" s="17" t="s">
        <v>32</v>
      </c>
      <c r="C12" s="18">
        <v>2.5000000000000001E-2</v>
      </c>
    </row>
    <row r="14" spans="2:10" s="13" customFormat="1" ht="15" thickBot="1" x14ac:dyDescent="0.35"/>
    <row r="15" spans="2:10" ht="15" thickBot="1" x14ac:dyDescent="0.35">
      <c r="B15" s="107" t="s">
        <v>75</v>
      </c>
      <c r="C15" s="95">
        <v>2013</v>
      </c>
      <c r="D15" s="96">
        <v>2014</v>
      </c>
      <c r="E15" s="97">
        <v>2015</v>
      </c>
      <c r="F15" s="98">
        <v>2016</v>
      </c>
      <c r="G15" s="98">
        <v>2017</v>
      </c>
      <c r="H15" s="98">
        <v>2018</v>
      </c>
      <c r="I15" s="98">
        <v>2019</v>
      </c>
      <c r="J15" s="99">
        <v>2020</v>
      </c>
    </row>
    <row r="16" spans="2:10" s="13" customFormat="1" x14ac:dyDescent="0.3">
      <c r="B16" s="19" t="s">
        <v>0</v>
      </c>
      <c r="C16" s="20">
        <v>4194977</v>
      </c>
      <c r="D16" s="21">
        <v>4625624</v>
      </c>
      <c r="E16" s="22">
        <v>4392622</v>
      </c>
      <c r="F16" s="23">
        <f>E16*(1+F17)</f>
        <v>4524400.66</v>
      </c>
      <c r="G16" s="24">
        <f t="shared" ref="G16:J16" si="0">F16*(1+G17)</f>
        <v>4660132.6798</v>
      </c>
      <c r="H16" s="24">
        <f t="shared" si="0"/>
        <v>4799936.6601940002</v>
      </c>
      <c r="I16" s="24">
        <f t="shared" si="0"/>
        <v>4943934.75999982</v>
      </c>
      <c r="J16" s="25">
        <f t="shared" si="0"/>
        <v>5092252.8027998144</v>
      </c>
    </row>
    <row r="17" spans="2:10" x14ac:dyDescent="0.3">
      <c r="B17" s="26" t="s">
        <v>10</v>
      </c>
      <c r="C17" s="27"/>
      <c r="D17" s="28"/>
      <c r="E17" s="29"/>
      <c r="F17" s="30">
        <f>3%</f>
        <v>0.03</v>
      </c>
      <c r="G17" s="30">
        <v>0.03</v>
      </c>
      <c r="H17" s="30">
        <v>0.03</v>
      </c>
      <c r="I17" s="30">
        <v>0.03</v>
      </c>
      <c r="J17" s="31">
        <v>0.03</v>
      </c>
    </row>
    <row r="18" spans="2:10" x14ac:dyDescent="0.3">
      <c r="B18" s="19" t="s">
        <v>1</v>
      </c>
      <c r="C18" s="20">
        <v>2721887</v>
      </c>
      <c r="D18" s="21">
        <v>2957197</v>
      </c>
      <c r="E18" s="22">
        <v>2741676</v>
      </c>
      <c r="F18" s="23">
        <f>F16*F19</f>
        <v>2823926.28</v>
      </c>
      <c r="G18" s="23">
        <f t="shared" ref="G18:J18" si="1">G16*G19</f>
        <v>2908644.0683999998</v>
      </c>
      <c r="H18" s="23">
        <f t="shared" si="1"/>
        <v>2995903.3904519998</v>
      </c>
      <c r="I18" s="23">
        <f t="shared" si="1"/>
        <v>3085780.4921655599</v>
      </c>
      <c r="J18" s="32">
        <f t="shared" si="1"/>
        <v>3178353.9069305263</v>
      </c>
    </row>
    <row r="19" spans="2:10" s="13" customFormat="1" x14ac:dyDescent="0.3">
      <c r="B19" s="26" t="s">
        <v>21</v>
      </c>
      <c r="C19" s="27"/>
      <c r="D19" s="28"/>
      <c r="E19" s="29"/>
      <c r="F19" s="33">
        <f>E18/E16</f>
        <v>0.62415477589467061</v>
      </c>
      <c r="G19" s="33">
        <f t="shared" ref="G19:J19" si="2">F18/F16</f>
        <v>0.62415477589467061</v>
      </c>
      <c r="H19" s="33">
        <f t="shared" si="2"/>
        <v>0.62415477589467061</v>
      </c>
      <c r="I19" s="33">
        <f t="shared" si="2"/>
        <v>0.62415477589467061</v>
      </c>
      <c r="J19" s="34">
        <f t="shared" si="2"/>
        <v>0.62415477589467061</v>
      </c>
    </row>
    <row r="20" spans="2:10" s="35" customFormat="1" ht="15" thickBot="1" x14ac:dyDescent="0.35">
      <c r="B20" s="36" t="s">
        <v>69</v>
      </c>
      <c r="C20" s="37"/>
      <c r="D20" s="38"/>
      <c r="E20" s="39"/>
      <c r="F20" s="40"/>
      <c r="G20" s="41">
        <v>144000</v>
      </c>
      <c r="H20" s="41">
        <v>144000</v>
      </c>
      <c r="I20" s="41">
        <v>144000</v>
      </c>
      <c r="J20" s="42">
        <v>144000</v>
      </c>
    </row>
    <row r="21" spans="2:10" ht="15" thickBot="1" x14ac:dyDescent="0.35">
      <c r="B21" s="100" t="s">
        <v>3</v>
      </c>
      <c r="C21" s="116">
        <v>1450661</v>
      </c>
      <c r="D21" s="117">
        <v>1639956</v>
      </c>
      <c r="E21" s="118">
        <v>1632511</v>
      </c>
      <c r="F21" s="119">
        <f>F16+F18</f>
        <v>7348326.9399999995</v>
      </c>
      <c r="G21" s="119">
        <f t="shared" ref="G21:J21" si="3">G16+G18</f>
        <v>7568776.7481999993</v>
      </c>
      <c r="H21" s="119">
        <f t="shared" si="3"/>
        <v>7795840.0506459996</v>
      </c>
      <c r="I21" s="119">
        <f t="shared" si="3"/>
        <v>8029715.2521653799</v>
      </c>
      <c r="J21" s="120">
        <f t="shared" si="3"/>
        <v>8270606.7097303402</v>
      </c>
    </row>
    <row r="22" spans="2:10" x14ac:dyDescent="0.3">
      <c r="B22" s="19" t="s">
        <v>4</v>
      </c>
      <c r="C22" s="20">
        <v>128265</v>
      </c>
      <c r="D22" s="21">
        <v>134134</v>
      </c>
      <c r="E22" s="22">
        <v>132813</v>
      </c>
      <c r="F22" s="24">
        <f>F16*F23</f>
        <v>136797.39000000001</v>
      </c>
      <c r="G22" s="24">
        <f>G16*G23</f>
        <v>140901.31170000002</v>
      </c>
      <c r="H22" s="24">
        <f>H16*H23</f>
        <v>145128.35105100003</v>
      </c>
      <c r="I22" s="24">
        <f>I16*I23</f>
        <v>149482.20158253002</v>
      </c>
      <c r="J22" s="25">
        <f>J16*J23</f>
        <v>153966.66763000592</v>
      </c>
    </row>
    <row r="23" spans="2:10" x14ac:dyDescent="0.3">
      <c r="B23" s="26" t="s">
        <v>22</v>
      </c>
      <c r="C23" s="27"/>
      <c r="D23" s="28"/>
      <c r="E23" s="29"/>
      <c r="F23" s="33">
        <f>E22/E16</f>
        <v>3.023547211665379E-2</v>
      </c>
      <c r="G23" s="33">
        <f>F22/F16</f>
        <v>3.023547211665379E-2</v>
      </c>
      <c r="H23" s="33">
        <f>G22/G16</f>
        <v>3.0235472116653794E-2</v>
      </c>
      <c r="I23" s="33">
        <f>H22/H16</f>
        <v>3.0235472116653794E-2</v>
      </c>
      <c r="J23" s="34">
        <f>I22/I16</f>
        <v>3.0235472116653794E-2</v>
      </c>
    </row>
    <row r="24" spans="2:10" s="43" customFormat="1" x14ac:dyDescent="0.3">
      <c r="B24" s="36" t="s">
        <v>68</v>
      </c>
      <c r="C24" s="44"/>
      <c r="D24" s="45"/>
      <c r="E24" s="46"/>
      <c r="F24" s="47"/>
      <c r="G24" s="41">
        <v>16000</v>
      </c>
      <c r="H24" s="41">
        <v>16000</v>
      </c>
      <c r="I24" s="41">
        <v>16000</v>
      </c>
      <c r="J24" s="42">
        <v>16000</v>
      </c>
    </row>
    <row r="25" spans="2:10" s="13" customFormat="1" x14ac:dyDescent="0.3">
      <c r="B25" s="19" t="s">
        <v>5</v>
      </c>
      <c r="C25" s="20">
        <v>721123</v>
      </c>
      <c r="D25" s="21">
        <v>832335</v>
      </c>
      <c r="E25" s="22">
        <v>810136</v>
      </c>
      <c r="F25" s="24">
        <f>F16*F26</f>
        <v>834440.08</v>
      </c>
      <c r="G25" s="24">
        <f>G16*G26</f>
        <v>859473.28239999991</v>
      </c>
      <c r="H25" s="24">
        <f>H16*H26</f>
        <v>885257.48087199999</v>
      </c>
      <c r="I25" s="24">
        <f>I16*I26</f>
        <v>911815.20529815997</v>
      </c>
      <c r="J25" s="25">
        <f>J16*J26</f>
        <v>939169.66145710472</v>
      </c>
    </row>
    <row r="26" spans="2:10" s="13" customFormat="1" x14ac:dyDescent="0.3">
      <c r="B26" s="26" t="s">
        <v>2</v>
      </c>
      <c r="C26" s="27"/>
      <c r="D26" s="28"/>
      <c r="E26" s="29"/>
      <c r="F26" s="33">
        <f>E25/E16</f>
        <v>0.18443107556261384</v>
      </c>
      <c r="G26" s="33">
        <f>F25/F16</f>
        <v>0.18443107556261384</v>
      </c>
      <c r="H26" s="33">
        <f>G25/G16</f>
        <v>0.18443107556261384</v>
      </c>
      <c r="I26" s="33">
        <f>H25/H16</f>
        <v>0.18443107556261384</v>
      </c>
      <c r="J26" s="34">
        <f>I25/I16</f>
        <v>0.18443107556261384</v>
      </c>
    </row>
    <row r="27" spans="2:10" s="43" customFormat="1" x14ac:dyDescent="0.3">
      <c r="B27" s="36" t="s">
        <v>67</v>
      </c>
      <c r="C27" s="44"/>
      <c r="D27" s="45"/>
      <c r="E27" s="46"/>
      <c r="F27" s="47"/>
      <c r="G27" s="41">
        <v>26000</v>
      </c>
      <c r="H27" s="41">
        <v>26000</v>
      </c>
      <c r="I27" s="41">
        <v>26000</v>
      </c>
      <c r="J27" s="42">
        <v>26000</v>
      </c>
    </row>
    <row r="28" spans="2:10" s="43" customFormat="1" ht="15" thickBot="1" x14ac:dyDescent="0.35">
      <c r="B28" s="36" t="s">
        <v>66</v>
      </c>
      <c r="C28" s="44"/>
      <c r="D28" s="45"/>
      <c r="E28" s="46"/>
      <c r="F28" s="47"/>
      <c r="G28" s="41">
        <v>134000</v>
      </c>
      <c r="H28" s="41">
        <v>134000</v>
      </c>
      <c r="I28" s="41">
        <v>134000</v>
      </c>
      <c r="J28" s="42">
        <v>134000</v>
      </c>
    </row>
    <row r="29" spans="2:10" ht="15" thickBot="1" x14ac:dyDescent="0.35">
      <c r="B29" s="121" t="s">
        <v>13</v>
      </c>
      <c r="C29" s="122">
        <f t="shared" ref="C29:F29" si="4">C16-C18-C22-C25-C30</f>
        <v>531099</v>
      </c>
      <c r="D29" s="123">
        <f t="shared" si="4"/>
        <v>601048</v>
      </c>
      <c r="E29" s="124">
        <f t="shared" si="4"/>
        <v>626875</v>
      </c>
      <c r="F29" s="125">
        <f t="shared" si="4"/>
        <v>645681.25000000023</v>
      </c>
      <c r="G29" s="125">
        <f>G16-G18-G22-G25-G30+G20+G24+G27+G28</f>
        <v>985051.68750000047</v>
      </c>
      <c r="H29" s="125">
        <f t="shared" ref="H29:J29" si="5">H16-H18-H22-H25-H30+H20+H24+H27+H28</f>
        <v>1005003.2381250004</v>
      </c>
      <c r="I29" s="125">
        <f t="shared" si="5"/>
        <v>1025553.3352687501</v>
      </c>
      <c r="J29" s="126">
        <f t="shared" si="5"/>
        <v>1046719.9353268129</v>
      </c>
    </row>
    <row r="30" spans="2:10" x14ac:dyDescent="0.3">
      <c r="B30" s="52" t="s">
        <v>6</v>
      </c>
      <c r="C30" s="49">
        <v>92603</v>
      </c>
      <c r="D30" s="50">
        <v>100910</v>
      </c>
      <c r="E30" s="51">
        <v>81122</v>
      </c>
      <c r="F30" s="24">
        <f>F16*F31</f>
        <v>83555.66</v>
      </c>
      <c r="G30" s="24">
        <f>G16*G31</f>
        <v>86062.329800000007</v>
      </c>
      <c r="H30" s="24">
        <f>H16*H31</f>
        <v>88644.19969400001</v>
      </c>
      <c r="I30" s="24">
        <f>I16*I31</f>
        <v>91303.525684820008</v>
      </c>
      <c r="J30" s="25">
        <f>J16*J31</f>
        <v>94042.631455364593</v>
      </c>
    </row>
    <row r="31" spans="2:10" s="13" customFormat="1" x14ac:dyDescent="0.3">
      <c r="B31" s="53" t="s">
        <v>9</v>
      </c>
      <c r="C31" s="54"/>
      <c r="D31" s="55"/>
      <c r="E31" s="56"/>
      <c r="F31" s="33">
        <f>E30/E16</f>
        <v>1.8467785299987115E-2</v>
      </c>
      <c r="G31" s="33">
        <f>F30/F16</f>
        <v>1.8467785299987115E-2</v>
      </c>
      <c r="H31" s="33">
        <f>G30/G16</f>
        <v>1.8467785299987115E-2</v>
      </c>
      <c r="I31" s="33">
        <f>H30/H16</f>
        <v>1.8467785299987115E-2</v>
      </c>
      <c r="J31" s="34">
        <f>I30/I16</f>
        <v>1.8467785299987115E-2</v>
      </c>
    </row>
    <row r="32" spans="2:10" x14ac:dyDescent="0.3">
      <c r="B32" s="52" t="s">
        <v>14</v>
      </c>
      <c r="C32" s="20">
        <v>64758</v>
      </c>
      <c r="D32" s="21">
        <v>65330</v>
      </c>
      <c r="E32" s="22">
        <v>81348</v>
      </c>
      <c r="F32" s="24">
        <v>0</v>
      </c>
      <c r="G32" s="24">
        <v>0</v>
      </c>
      <c r="H32" s="24">
        <v>0</v>
      </c>
      <c r="I32" s="24">
        <v>0</v>
      </c>
      <c r="J32" s="25">
        <v>0</v>
      </c>
    </row>
    <row r="33" spans="2:10" x14ac:dyDescent="0.3">
      <c r="B33" s="48" t="s">
        <v>7</v>
      </c>
      <c r="C33" s="20">
        <v>423795</v>
      </c>
      <c r="D33" s="21">
        <v>491882</v>
      </c>
      <c r="E33" s="22">
        <v>563801</v>
      </c>
      <c r="F33" s="24">
        <f>F16-F18-F22-F25-F30</f>
        <v>645681.25000000023</v>
      </c>
      <c r="G33" s="24">
        <f>G16-G18-G22-G25-G30</f>
        <v>665051.68750000047</v>
      </c>
      <c r="H33" s="24">
        <f>H16-H18-H22-H25-H30</f>
        <v>685003.23812500038</v>
      </c>
      <c r="I33" s="24">
        <f>I16-I18-I22-I25-I30</f>
        <v>705553.33526875009</v>
      </c>
      <c r="J33" s="25">
        <f>J16-J18-J22-J25-J30</f>
        <v>726719.93532681291</v>
      </c>
    </row>
    <row r="34" spans="2:10" x14ac:dyDescent="0.3">
      <c r="B34" s="57" t="s">
        <v>8</v>
      </c>
      <c r="C34" s="20">
        <v>134540</v>
      </c>
      <c r="D34" s="21">
        <v>146481</v>
      </c>
      <c r="E34" s="22">
        <v>164295</v>
      </c>
      <c r="F34" s="58">
        <f>F29*F35</f>
        <v>188155.39697295683</v>
      </c>
      <c r="G34" s="58">
        <f t="shared" ref="G34:J34" si="6">G29*G35</f>
        <v>287049.98217068182</v>
      </c>
      <c r="H34" s="58">
        <f>H29*H35</f>
        <v>292863.98393714614</v>
      </c>
      <c r="I34" s="58">
        <f t="shared" si="6"/>
        <v>298852.40575660433</v>
      </c>
      <c r="J34" s="59">
        <f t="shared" si="6"/>
        <v>305020.4802306465</v>
      </c>
    </row>
    <row r="35" spans="2:10" ht="15" thickBot="1" x14ac:dyDescent="0.35">
      <c r="B35" s="53" t="s">
        <v>11</v>
      </c>
      <c r="C35" s="27"/>
      <c r="D35" s="28"/>
      <c r="E35" s="29"/>
      <c r="F35" s="33">
        <f>E34/E33</f>
        <v>0.29140601027667562</v>
      </c>
      <c r="G35" s="33">
        <f t="shared" ref="G35" si="7">F34/F33</f>
        <v>0.29140601027667562</v>
      </c>
      <c r="H35" s="33">
        <f>G35</f>
        <v>0.29140601027667562</v>
      </c>
      <c r="I35" s="33">
        <f t="shared" ref="I35:J35" si="8">H35</f>
        <v>0.29140601027667562</v>
      </c>
      <c r="J35" s="34">
        <f t="shared" si="8"/>
        <v>0.29140601027667562</v>
      </c>
    </row>
    <row r="36" spans="2:10" ht="15" thickBot="1" x14ac:dyDescent="0.35">
      <c r="B36" s="127" t="s">
        <v>26</v>
      </c>
      <c r="C36" s="128"/>
      <c r="D36" s="129"/>
      <c r="E36" s="130"/>
      <c r="F36" s="131">
        <f>F33-F34</f>
        <v>457525.8530270434</v>
      </c>
      <c r="G36" s="131">
        <f t="shared" ref="G36:J36" si="9">G33-G34</f>
        <v>378001.70532931865</v>
      </c>
      <c r="H36" s="131">
        <f t="shared" si="9"/>
        <v>392139.25418785424</v>
      </c>
      <c r="I36" s="131">
        <f t="shared" si="9"/>
        <v>406700.92951214575</v>
      </c>
      <c r="J36" s="132">
        <f t="shared" si="9"/>
        <v>421699.45509616641</v>
      </c>
    </row>
    <row r="37" spans="2:10" x14ac:dyDescent="0.3">
      <c r="B37" s="57" t="s">
        <v>12</v>
      </c>
      <c r="C37" s="9"/>
      <c r="E37" s="60"/>
      <c r="F37" s="24">
        <f>F30</f>
        <v>83555.66</v>
      </c>
      <c r="G37" s="24">
        <f t="shared" ref="G37:J37" si="10">G30</f>
        <v>86062.329800000007</v>
      </c>
      <c r="H37" s="24">
        <f t="shared" si="10"/>
        <v>88644.19969400001</v>
      </c>
      <c r="I37" s="24">
        <f t="shared" si="10"/>
        <v>91303.525684820008</v>
      </c>
      <c r="J37" s="25">
        <f t="shared" si="10"/>
        <v>94042.631455364593</v>
      </c>
    </row>
    <row r="38" spans="2:10" x14ac:dyDescent="0.3">
      <c r="B38" s="19" t="s">
        <v>24</v>
      </c>
      <c r="C38" s="9"/>
      <c r="E38" s="61">
        <f>1631230-1366739</f>
        <v>264491</v>
      </c>
      <c r="F38" s="24">
        <f>F16*F39</f>
        <v>272425.73000000004</v>
      </c>
      <c r="G38" s="24">
        <f>G16*G39</f>
        <v>280598.50190000003</v>
      </c>
      <c r="H38" s="24">
        <f>H16*H39</f>
        <v>289016.45695700007</v>
      </c>
      <c r="I38" s="24">
        <f>I16*I39</f>
        <v>297686.95066571003</v>
      </c>
      <c r="J38" s="25">
        <f>J16*J39</f>
        <v>306617.55918568128</v>
      </c>
    </row>
    <row r="39" spans="2:10" x14ac:dyDescent="0.3">
      <c r="B39" s="26" t="s">
        <v>23</v>
      </c>
      <c r="C39" s="62"/>
      <c r="D39" s="13"/>
      <c r="E39" s="63"/>
      <c r="F39" s="33">
        <f>E38/E16</f>
        <v>6.021255641846715E-2</v>
      </c>
      <c r="G39" s="33">
        <f>F38/F16</f>
        <v>6.0212556418467157E-2</v>
      </c>
      <c r="H39" s="33">
        <f>G38/G16</f>
        <v>6.0212556418467157E-2</v>
      </c>
      <c r="I39" s="33">
        <f>H38/H16</f>
        <v>6.0212556418467157E-2</v>
      </c>
      <c r="J39" s="34">
        <f>I38/I16</f>
        <v>6.021255641846715E-2</v>
      </c>
    </row>
    <row r="40" spans="2:10" ht="15" thickBot="1" x14ac:dyDescent="0.35">
      <c r="B40" s="64" t="s">
        <v>16</v>
      </c>
      <c r="C40" s="65"/>
      <c r="D40" s="66"/>
      <c r="E40" s="67"/>
      <c r="F40" s="68">
        <f>F38-E38</f>
        <v>7934.7300000000396</v>
      </c>
      <c r="G40" s="68">
        <f>G38-F38</f>
        <v>8172.7718999999925</v>
      </c>
      <c r="H40" s="68">
        <f>H38-G38</f>
        <v>8417.9550570000429</v>
      </c>
      <c r="I40" s="68">
        <f>I38-H38</f>
        <v>8670.4937087099534</v>
      </c>
      <c r="J40" s="69">
        <f>J38-I38</f>
        <v>8930.6085199712543</v>
      </c>
    </row>
    <row r="42" spans="2:10" ht="15" thickBot="1" x14ac:dyDescent="0.35">
      <c r="B42" s="108" t="s">
        <v>62</v>
      </c>
    </row>
    <row r="43" spans="2:10" ht="15" thickBot="1" x14ac:dyDescent="0.35">
      <c r="B43" s="70"/>
      <c r="C43" s="109">
        <v>2013</v>
      </c>
      <c r="D43" s="110">
        <v>2014</v>
      </c>
      <c r="E43" s="111">
        <v>2015</v>
      </c>
      <c r="F43" s="110">
        <v>2016</v>
      </c>
      <c r="G43" s="110">
        <v>2017</v>
      </c>
      <c r="H43" s="110">
        <v>2018</v>
      </c>
      <c r="I43" s="110">
        <v>2019</v>
      </c>
      <c r="J43" s="111">
        <v>2020</v>
      </c>
    </row>
    <row r="44" spans="2:10" x14ac:dyDescent="0.3">
      <c r="B44" s="48" t="s">
        <v>13</v>
      </c>
      <c r="C44" s="49">
        <f t="shared" ref="C44:J44" si="11">C29</f>
        <v>531099</v>
      </c>
      <c r="D44" s="50">
        <f t="shared" si="11"/>
        <v>601048</v>
      </c>
      <c r="E44" s="51">
        <f t="shared" si="11"/>
        <v>626875</v>
      </c>
      <c r="F44" s="71">
        <f t="shared" si="11"/>
        <v>645681.25000000023</v>
      </c>
      <c r="G44" s="71">
        <f>G29</f>
        <v>985051.68750000047</v>
      </c>
      <c r="H44" s="71">
        <f t="shared" si="11"/>
        <v>1005003.2381250004</v>
      </c>
      <c r="I44" s="71">
        <f t="shared" si="11"/>
        <v>1025553.3352687501</v>
      </c>
      <c r="J44" s="72">
        <f t="shared" si="11"/>
        <v>1046719.9353268129</v>
      </c>
    </row>
    <row r="45" spans="2:10" x14ac:dyDescent="0.3">
      <c r="B45" s="73" t="s">
        <v>17</v>
      </c>
      <c r="C45" s="74">
        <f t="shared" ref="C45:J45" si="12">C34</f>
        <v>134540</v>
      </c>
      <c r="D45" s="75">
        <f t="shared" si="12"/>
        <v>146481</v>
      </c>
      <c r="E45" s="61">
        <f t="shared" si="12"/>
        <v>164295</v>
      </c>
      <c r="F45" s="24">
        <f t="shared" si="12"/>
        <v>188155.39697295683</v>
      </c>
      <c r="G45" s="24">
        <f t="shared" si="12"/>
        <v>287049.98217068182</v>
      </c>
      <c r="H45" s="24">
        <f t="shared" si="12"/>
        <v>292863.98393714614</v>
      </c>
      <c r="I45" s="24">
        <f t="shared" si="12"/>
        <v>298852.40575660433</v>
      </c>
      <c r="J45" s="25">
        <f t="shared" si="12"/>
        <v>305020.4802306465</v>
      </c>
    </row>
    <row r="46" spans="2:10" x14ac:dyDescent="0.3">
      <c r="B46" s="73" t="s">
        <v>18</v>
      </c>
      <c r="C46" s="74">
        <f t="shared" ref="C46:J46" si="13">C30</f>
        <v>92603</v>
      </c>
      <c r="D46" s="75">
        <f t="shared" si="13"/>
        <v>100910</v>
      </c>
      <c r="E46" s="61">
        <f t="shared" si="13"/>
        <v>81122</v>
      </c>
      <c r="F46" s="24">
        <f t="shared" si="13"/>
        <v>83555.66</v>
      </c>
      <c r="G46" s="24">
        <f t="shared" si="13"/>
        <v>86062.329800000007</v>
      </c>
      <c r="H46" s="24">
        <f t="shared" si="13"/>
        <v>88644.19969400001</v>
      </c>
      <c r="I46" s="24">
        <f t="shared" si="13"/>
        <v>91303.525684820008</v>
      </c>
      <c r="J46" s="25">
        <f t="shared" si="13"/>
        <v>94042.631455364593</v>
      </c>
    </row>
    <row r="47" spans="2:10" x14ac:dyDescent="0.3">
      <c r="B47" s="73" t="s">
        <v>19</v>
      </c>
      <c r="C47" s="74">
        <f t="shared" ref="C47:J47" si="14">C37</f>
        <v>0</v>
      </c>
      <c r="D47" s="75">
        <f t="shared" si="14"/>
        <v>0</v>
      </c>
      <c r="E47" s="61">
        <f t="shared" si="14"/>
        <v>0</v>
      </c>
      <c r="F47" s="24">
        <f t="shared" si="14"/>
        <v>83555.66</v>
      </c>
      <c r="G47" s="24">
        <f t="shared" si="14"/>
        <v>86062.329800000007</v>
      </c>
      <c r="H47" s="24">
        <f t="shared" si="14"/>
        <v>88644.19969400001</v>
      </c>
      <c r="I47" s="24">
        <f t="shared" si="14"/>
        <v>91303.525684820008</v>
      </c>
      <c r="J47" s="25">
        <f t="shared" si="14"/>
        <v>94042.631455364593</v>
      </c>
    </row>
    <row r="48" spans="2:10" ht="15" thickBot="1" x14ac:dyDescent="0.35">
      <c r="B48" s="76" t="s">
        <v>20</v>
      </c>
      <c r="C48" s="77">
        <f t="shared" ref="C48:J48" si="15">C40</f>
        <v>0</v>
      </c>
      <c r="D48" s="78">
        <f t="shared" si="15"/>
        <v>0</v>
      </c>
      <c r="E48" s="79">
        <f t="shared" si="15"/>
        <v>0</v>
      </c>
      <c r="F48" s="68">
        <f t="shared" si="15"/>
        <v>7934.7300000000396</v>
      </c>
      <c r="G48" s="68">
        <f t="shared" si="15"/>
        <v>8172.7718999999925</v>
      </c>
      <c r="H48" s="68">
        <f t="shared" si="15"/>
        <v>8417.9550570000429</v>
      </c>
      <c r="I48" s="68">
        <f t="shared" si="15"/>
        <v>8670.4937087099534</v>
      </c>
      <c r="J48" s="69">
        <f t="shared" si="15"/>
        <v>8930.6085199712543</v>
      </c>
    </row>
    <row r="49" spans="2:10" ht="15" thickBot="1" x14ac:dyDescent="0.35">
      <c r="B49" s="106" t="s">
        <v>15</v>
      </c>
      <c r="C49" s="112"/>
      <c r="D49" s="113"/>
      <c r="E49" s="114"/>
      <c r="F49" s="115">
        <f>F44-F45+F46-F47-F48</f>
        <v>449591.12302704336</v>
      </c>
      <c r="G49" s="115">
        <f>G44-G45+G46-G47-G48</f>
        <v>689828.93342931871</v>
      </c>
      <c r="H49" s="115">
        <f>H44-H45+H46-H47-H48</f>
        <v>703721.2991308542</v>
      </c>
      <c r="I49" s="115">
        <f t="shared" ref="I49:J49" si="16">I44-I45+I46-I47-I48</f>
        <v>718030.43580343574</v>
      </c>
      <c r="J49" s="115">
        <f t="shared" si="16"/>
        <v>732768.84657619509</v>
      </c>
    </row>
    <row r="50" spans="2:10" ht="15" thickBot="1" x14ac:dyDescent="0.35"/>
    <row r="51" spans="2:10" ht="15" thickBot="1" x14ac:dyDescent="0.35">
      <c r="B51" s="101" t="s">
        <v>34</v>
      </c>
      <c r="C51" s="4"/>
    </row>
    <row r="52" spans="2:10" x14ac:dyDescent="0.3">
      <c r="B52" s="16" t="s">
        <v>71</v>
      </c>
      <c r="C52" s="81">
        <f>C5</f>
        <v>0.25777609872811991</v>
      </c>
    </row>
    <row r="53" spans="2:10" x14ac:dyDescent="0.3">
      <c r="B53" s="16" t="s">
        <v>35</v>
      </c>
      <c r="C53" s="81">
        <f>1-C52</f>
        <v>0.74222390127188009</v>
      </c>
    </row>
    <row r="54" spans="2:10" x14ac:dyDescent="0.3">
      <c r="B54" s="16" t="s">
        <v>36</v>
      </c>
      <c r="C54" s="81">
        <f>C52/C53</f>
        <v>0.3473023413640991</v>
      </c>
    </row>
    <row r="55" spans="2:10" x14ac:dyDescent="0.3">
      <c r="B55" s="16"/>
      <c r="C55" s="60"/>
    </row>
    <row r="56" spans="2:10" x14ac:dyDescent="0.3">
      <c r="B56" s="16" t="s">
        <v>37</v>
      </c>
      <c r="C56" s="60">
        <f>C11/(1+C54*(1-C8))</f>
        <v>0.99510764019244125</v>
      </c>
    </row>
    <row r="57" spans="2:10" x14ac:dyDescent="0.3">
      <c r="B57" s="16"/>
      <c r="C57" s="60"/>
    </row>
    <row r="58" spans="2:10" x14ac:dyDescent="0.3">
      <c r="B58" s="16" t="s">
        <v>38</v>
      </c>
      <c r="C58" s="60"/>
    </row>
    <row r="59" spans="2:10" x14ac:dyDescent="0.3">
      <c r="B59" s="16" t="s">
        <v>71</v>
      </c>
      <c r="C59" s="81">
        <v>0.17170749644655159</v>
      </c>
    </row>
    <row r="60" spans="2:10" x14ac:dyDescent="0.3">
      <c r="B60" s="16" t="s">
        <v>35</v>
      </c>
      <c r="C60" s="81">
        <f>1-C59</f>
        <v>0.82829250355344841</v>
      </c>
    </row>
    <row r="61" spans="2:10" x14ac:dyDescent="0.3">
      <c r="B61" s="16" t="s">
        <v>36</v>
      </c>
      <c r="C61" s="81">
        <f>C59/C60</f>
        <v>0.20730297052057237</v>
      </c>
    </row>
    <row r="62" spans="2:10" x14ac:dyDescent="0.3">
      <c r="B62" s="16"/>
      <c r="C62" s="60"/>
    </row>
    <row r="63" spans="2:10" x14ac:dyDescent="0.3">
      <c r="B63" s="16" t="s">
        <v>72</v>
      </c>
      <c r="C63" s="60">
        <f>C56*(1+C61*(1-C8))</f>
        <v>1.1412826226198634</v>
      </c>
    </row>
    <row r="64" spans="2:10" ht="15" thickBot="1" x14ac:dyDescent="0.35">
      <c r="B64" s="16"/>
      <c r="C64" s="60"/>
    </row>
    <row r="65" spans="2:8" ht="15" thickBot="1" x14ac:dyDescent="0.35">
      <c r="B65" s="101" t="s">
        <v>39</v>
      </c>
      <c r="C65" s="133">
        <f>C9+(C63*C10)</f>
        <v>8.9794392111952087E-2</v>
      </c>
    </row>
    <row r="66" spans="2:8" ht="15" thickBot="1" x14ac:dyDescent="0.35">
      <c r="B66" s="16"/>
      <c r="C66" s="60"/>
    </row>
    <row r="67" spans="2:8" ht="15" thickBot="1" x14ac:dyDescent="0.35">
      <c r="B67" s="101" t="s">
        <v>40</v>
      </c>
      <c r="C67" s="133">
        <f>(C59*C6*(1-C8))+(C60*C65)</f>
        <v>7.9851212346229772E-2</v>
      </c>
    </row>
    <row r="68" spans="2:8" ht="15" thickBot="1" x14ac:dyDescent="0.35"/>
    <row r="69" spans="2:8" ht="15" thickBot="1" x14ac:dyDescent="0.35">
      <c r="B69" s="70"/>
      <c r="C69" s="101"/>
      <c r="D69" s="110">
        <v>2016</v>
      </c>
      <c r="E69" s="110">
        <v>2017</v>
      </c>
      <c r="F69" s="110">
        <v>2018</v>
      </c>
      <c r="G69" s="110">
        <v>2019</v>
      </c>
      <c r="H69" s="111">
        <v>2020</v>
      </c>
    </row>
    <row r="70" spans="2:8" x14ac:dyDescent="0.3">
      <c r="B70" s="16" t="s">
        <v>65</v>
      </c>
      <c r="C70" s="16"/>
      <c r="D70" s="24">
        <f>F49</f>
        <v>449591.12302704336</v>
      </c>
      <c r="E70" s="24">
        <f t="shared" ref="E70:H70" si="17">G49</f>
        <v>689828.93342931871</v>
      </c>
      <c r="F70" s="24">
        <f t="shared" si="17"/>
        <v>703721.2991308542</v>
      </c>
      <c r="G70" s="24">
        <f t="shared" si="17"/>
        <v>718030.43580343574</v>
      </c>
      <c r="H70" s="25">
        <f t="shared" si="17"/>
        <v>732768.84657619509</v>
      </c>
    </row>
    <row r="71" spans="2:8" ht="15" thickBot="1" x14ac:dyDescent="0.35">
      <c r="B71" s="16" t="s">
        <v>41</v>
      </c>
      <c r="C71" s="16"/>
      <c r="D71" s="24"/>
      <c r="E71" s="24"/>
      <c r="F71" s="24"/>
      <c r="G71" s="24"/>
      <c r="H71" s="25">
        <f>(H70*(1+C12))/(C67-C12)</f>
        <v>13693189.915285917</v>
      </c>
    </row>
    <row r="72" spans="2:8" ht="15" thickBot="1" x14ac:dyDescent="0.35">
      <c r="B72" s="70" t="s">
        <v>42</v>
      </c>
      <c r="C72" s="70"/>
      <c r="D72" s="83">
        <f>D70+D71</f>
        <v>449591.12302704336</v>
      </c>
      <c r="E72" s="83">
        <f t="shared" ref="E72:H72" si="18">E70+E71</f>
        <v>689828.93342931871</v>
      </c>
      <c r="F72" s="83">
        <f t="shared" si="18"/>
        <v>703721.2991308542</v>
      </c>
      <c r="G72" s="83">
        <f t="shared" si="18"/>
        <v>718030.43580343574</v>
      </c>
      <c r="H72" s="84">
        <f t="shared" si="18"/>
        <v>14425958.761862112</v>
      </c>
    </row>
    <row r="73" spans="2:8" ht="15" thickBot="1" x14ac:dyDescent="0.35"/>
    <row r="74" spans="2:8" ht="15" thickBot="1" x14ac:dyDescent="0.35">
      <c r="B74" s="70" t="s">
        <v>43</v>
      </c>
      <c r="C74" s="134">
        <f>NPV(C67,D72:H72)</f>
        <v>11919688.82012447</v>
      </c>
    </row>
    <row r="75" spans="2:8" x14ac:dyDescent="0.3">
      <c r="B75" s="16" t="s">
        <v>44</v>
      </c>
      <c r="C75" s="25">
        <f>C7</f>
        <v>2046700</v>
      </c>
    </row>
    <row r="76" spans="2:8" x14ac:dyDescent="0.3">
      <c r="B76" s="16" t="s">
        <v>35</v>
      </c>
      <c r="C76" s="85">
        <f>C74-C75+C77</f>
        <v>9932988.8201244697</v>
      </c>
    </row>
    <row r="77" spans="2:8" ht="15" thickBot="1" x14ac:dyDescent="0.35">
      <c r="B77" s="16" t="s">
        <v>70</v>
      </c>
      <c r="C77" s="25">
        <v>60000</v>
      </c>
    </row>
    <row r="78" spans="2:8" ht="15" thickBot="1" x14ac:dyDescent="0.35">
      <c r="B78" s="70" t="s">
        <v>45</v>
      </c>
      <c r="C78" s="135">
        <f>C75/C74</f>
        <v>0.17170750267779453</v>
      </c>
    </row>
    <row r="79" spans="2:8" ht="15" thickBot="1" x14ac:dyDescent="0.35"/>
    <row r="80" spans="2:8" ht="15" thickBot="1" x14ac:dyDescent="0.35">
      <c r="B80" s="70" t="s">
        <v>46</v>
      </c>
      <c r="C80" s="70">
        <v>2015</v>
      </c>
      <c r="D80" s="3">
        <v>2016</v>
      </c>
      <c r="E80" s="3">
        <v>2017</v>
      </c>
      <c r="F80" s="3">
        <v>2018</v>
      </c>
      <c r="G80" s="3">
        <v>2019</v>
      </c>
      <c r="H80" s="4">
        <v>2020</v>
      </c>
    </row>
    <row r="81" spans="2:8" x14ac:dyDescent="0.3">
      <c r="B81" s="16" t="s">
        <v>47</v>
      </c>
      <c r="C81" s="104">
        <f>C74</f>
        <v>11919688.82012447</v>
      </c>
      <c r="D81" s="86">
        <f>NPV(C67,E72:H72)</f>
        <v>12421899.300174167</v>
      </c>
      <c r="E81" s="86">
        <f>NPV(C67,F72:H72)</f>
        <v>12723974.08550654</v>
      </c>
      <c r="F81" s="86">
        <f>NPV(C67,G72:H72)</f>
        <v>13036277.542965394</v>
      </c>
      <c r="G81" s="86">
        <f>NPV(C67,H72)</f>
        <v>13359209.673449675</v>
      </c>
      <c r="H81" s="32">
        <f>H71</f>
        <v>13693189.915285917</v>
      </c>
    </row>
    <row r="82" spans="2:8" x14ac:dyDescent="0.3">
      <c r="B82" s="16" t="s">
        <v>48</v>
      </c>
      <c r="C82" s="105">
        <f>C7</f>
        <v>2046700</v>
      </c>
      <c r="D82" s="86">
        <f>D81*$C$59</f>
        <v>2132933.2299440773</v>
      </c>
      <c r="E82" s="86">
        <f t="shared" ref="E82:H82" si="19">E81*$C$59</f>
        <v>2184801.7350731287</v>
      </c>
      <c r="F82" s="86">
        <f t="shared" si="19"/>
        <v>2238426.5798849906</v>
      </c>
      <c r="G82" s="86">
        <f t="shared" si="19"/>
        <v>2293876.4475325975</v>
      </c>
      <c r="H82" s="87">
        <f t="shared" si="19"/>
        <v>2351223.3587209126</v>
      </c>
    </row>
    <row r="83" spans="2:8" ht="15" thickBot="1" x14ac:dyDescent="0.35">
      <c r="B83" s="80" t="s">
        <v>49</v>
      </c>
      <c r="C83" s="80"/>
      <c r="D83" s="88">
        <f>D82*$C$6</f>
        <v>95981.995347483477</v>
      </c>
      <c r="E83" s="88">
        <f t="shared" ref="E83:H83" si="20">E82*$C$6</f>
        <v>98316.078078290782</v>
      </c>
      <c r="F83" s="88">
        <f t="shared" si="20"/>
        <v>100729.19609482457</v>
      </c>
      <c r="G83" s="88">
        <f t="shared" si="20"/>
        <v>103224.44013896688</v>
      </c>
      <c r="H83" s="89">
        <f t="shared" si="20"/>
        <v>105805.05114244107</v>
      </c>
    </row>
    <row r="84" spans="2:8" ht="15" thickBot="1" x14ac:dyDescent="0.35"/>
    <row r="85" spans="2:8" ht="15" thickBot="1" x14ac:dyDescent="0.35">
      <c r="B85" s="101" t="s">
        <v>50</v>
      </c>
      <c r="C85" s="70"/>
      <c r="D85" s="3">
        <v>2016</v>
      </c>
      <c r="E85" s="3">
        <v>2017</v>
      </c>
      <c r="F85" s="3">
        <v>2018</v>
      </c>
      <c r="G85" s="3">
        <v>2019</v>
      </c>
      <c r="H85" s="4">
        <v>2020</v>
      </c>
    </row>
    <row r="86" spans="2:8" x14ac:dyDescent="0.3">
      <c r="B86" s="16" t="s">
        <v>13</v>
      </c>
      <c r="C86" s="16"/>
      <c r="D86" s="24">
        <f>F44</f>
        <v>645681.25000000023</v>
      </c>
      <c r="E86" s="24">
        <f>G44</f>
        <v>985051.68750000047</v>
      </c>
      <c r="F86" s="24">
        <f>H44</f>
        <v>1005003.2381250004</v>
      </c>
      <c r="G86" s="24">
        <f>I44</f>
        <v>1025553.3352687501</v>
      </c>
      <c r="H86" s="25">
        <f>J44</f>
        <v>1046719.9353268129</v>
      </c>
    </row>
    <row r="87" spans="2:8" ht="15" thickBot="1" x14ac:dyDescent="0.35">
      <c r="B87" s="16" t="s">
        <v>51</v>
      </c>
      <c r="C87" s="16"/>
      <c r="D87" s="136">
        <f>D83</f>
        <v>95981.995347483477</v>
      </c>
      <c r="E87" s="136">
        <f t="shared" ref="E87:H87" si="21">E83</f>
        <v>98316.078078290782</v>
      </c>
      <c r="F87" s="136">
        <f t="shared" si="21"/>
        <v>100729.19609482457</v>
      </c>
      <c r="G87" s="136">
        <f t="shared" si="21"/>
        <v>103224.44013896688</v>
      </c>
      <c r="H87" s="87">
        <f t="shared" si="21"/>
        <v>105805.05114244107</v>
      </c>
    </row>
    <row r="88" spans="2:8" ht="15" thickBot="1" x14ac:dyDescent="0.35">
      <c r="B88" s="70" t="s">
        <v>52</v>
      </c>
      <c r="C88" s="70"/>
      <c r="D88" s="90">
        <f>D86-D87</f>
        <v>549699.2546525168</v>
      </c>
      <c r="E88" s="90">
        <f t="shared" ref="E88:H88" si="22">E86-E87</f>
        <v>886735.60942170967</v>
      </c>
      <c r="F88" s="90">
        <f t="shared" si="22"/>
        <v>904274.0420301758</v>
      </c>
      <c r="G88" s="90">
        <f t="shared" si="22"/>
        <v>922328.8951297832</v>
      </c>
      <c r="H88" s="91">
        <f t="shared" si="22"/>
        <v>940914.8841843718</v>
      </c>
    </row>
    <row r="89" spans="2:8" ht="15" thickBot="1" x14ac:dyDescent="0.35">
      <c r="B89" s="16" t="s">
        <v>53</v>
      </c>
      <c r="C89" s="16"/>
      <c r="D89" s="136">
        <f>D88*$C$8</f>
        <v>160185.66665035224</v>
      </c>
      <c r="E89" s="136">
        <f t="shared" ref="E89:H89" si="23">E88*$C$8</f>
        <v>258400.08611183695</v>
      </c>
      <c r="F89" s="136">
        <f t="shared" si="23"/>
        <v>263510.89078477642</v>
      </c>
      <c r="G89" s="136">
        <f t="shared" si="23"/>
        <v>268772.18349266448</v>
      </c>
      <c r="H89" s="87">
        <f t="shared" si="23"/>
        <v>274188.25241010811</v>
      </c>
    </row>
    <row r="90" spans="2:8" ht="15" thickBot="1" x14ac:dyDescent="0.35">
      <c r="B90" s="70" t="s">
        <v>26</v>
      </c>
      <c r="C90" s="70"/>
      <c r="D90" s="90">
        <f>D88-D89</f>
        <v>389513.58800216456</v>
      </c>
      <c r="E90" s="90">
        <f t="shared" ref="E90:H90" si="24">E88-E89</f>
        <v>628335.52330987272</v>
      </c>
      <c r="F90" s="90">
        <f t="shared" si="24"/>
        <v>640763.15124539938</v>
      </c>
      <c r="G90" s="90">
        <f t="shared" si="24"/>
        <v>653556.71163711871</v>
      </c>
      <c r="H90" s="91">
        <f t="shared" si="24"/>
        <v>666726.63177426369</v>
      </c>
    </row>
    <row r="91" spans="2:8" x14ac:dyDescent="0.3">
      <c r="B91" s="16" t="s">
        <v>54</v>
      </c>
      <c r="C91" s="16"/>
      <c r="D91" s="24">
        <f>F40</f>
        <v>7934.7300000000396</v>
      </c>
      <c r="E91" s="24">
        <f>G40</f>
        <v>8172.7718999999925</v>
      </c>
      <c r="F91" s="24">
        <f>H40</f>
        <v>8417.9550570000429</v>
      </c>
      <c r="G91" s="24">
        <f>I40</f>
        <v>8670.4937087099534</v>
      </c>
      <c r="H91" s="25">
        <f>J40</f>
        <v>8930.6085199712543</v>
      </c>
    </row>
    <row r="92" spans="2:8" x14ac:dyDescent="0.3">
      <c r="B92" s="16" t="s">
        <v>55</v>
      </c>
      <c r="C92" s="16"/>
      <c r="D92" s="24">
        <f>F30</f>
        <v>83555.66</v>
      </c>
      <c r="E92" s="24">
        <f>G30</f>
        <v>86062.329800000007</v>
      </c>
      <c r="F92" s="24">
        <f>H30</f>
        <v>88644.19969400001</v>
      </c>
      <c r="G92" s="24">
        <f>I30</f>
        <v>91303.525684820008</v>
      </c>
      <c r="H92" s="25">
        <f>J30</f>
        <v>94042.631455364593</v>
      </c>
    </row>
    <row r="93" spans="2:8" x14ac:dyDescent="0.3">
      <c r="B93" s="16" t="s">
        <v>56</v>
      </c>
      <c r="C93" s="16"/>
      <c r="D93" s="24">
        <f>F37</f>
        <v>83555.66</v>
      </c>
      <c r="E93" s="24">
        <f>G37</f>
        <v>86062.329800000007</v>
      </c>
      <c r="F93" s="24">
        <f>H37</f>
        <v>88644.19969400001</v>
      </c>
      <c r="G93" s="24">
        <f>I37</f>
        <v>91303.525684820008</v>
      </c>
      <c r="H93" s="25">
        <f>J37</f>
        <v>94042.631455364593</v>
      </c>
    </row>
    <row r="94" spans="2:8" ht="15" thickBot="1" x14ac:dyDescent="0.35">
      <c r="B94" s="16" t="s">
        <v>57</v>
      </c>
      <c r="C94" s="16"/>
      <c r="D94" s="136">
        <f>D82-C82</f>
        <v>86233.22994407732</v>
      </c>
      <c r="E94" s="136">
        <f t="shared" ref="E94:G94" si="25">E82-D82</f>
        <v>51868.505129051395</v>
      </c>
      <c r="F94" s="136">
        <f t="shared" si="25"/>
        <v>53624.844811861869</v>
      </c>
      <c r="G94" s="136">
        <f t="shared" si="25"/>
        <v>55449.867647606879</v>
      </c>
      <c r="H94" s="87">
        <f>H82-G82</f>
        <v>57346.911188315134</v>
      </c>
    </row>
    <row r="95" spans="2:8" ht="15" thickBot="1" x14ac:dyDescent="0.35">
      <c r="B95" s="70" t="s">
        <v>58</v>
      </c>
      <c r="C95" s="70"/>
      <c r="D95" s="90">
        <f>D90-D91+D92-D93+D94</f>
        <v>467812.08794624184</v>
      </c>
      <c r="E95" s="90">
        <f t="shared" ref="E95:G95" si="26">E90-E91+E92-E93+E94</f>
        <v>672031.25653892406</v>
      </c>
      <c r="F95" s="90">
        <f t="shared" si="26"/>
        <v>685970.0410002612</v>
      </c>
      <c r="G95" s="90">
        <f t="shared" si="26"/>
        <v>700336.08557601564</v>
      </c>
      <c r="H95" s="91">
        <f>H90-H91+H92-H93+H94</f>
        <v>715142.93444260757</v>
      </c>
    </row>
    <row r="96" spans="2:8" ht="15" thickBot="1" x14ac:dyDescent="0.35">
      <c r="B96" s="16" t="s">
        <v>41</v>
      </c>
      <c r="C96" s="16"/>
      <c r="H96" s="87">
        <f>(H95*(1+C12))/(C65-C12)</f>
        <v>11313039.352806248</v>
      </c>
    </row>
    <row r="97" spans="2:8" ht="15" thickBot="1" x14ac:dyDescent="0.35">
      <c r="B97" s="101" t="s">
        <v>59</v>
      </c>
      <c r="C97" s="101"/>
      <c r="D97" s="102">
        <f>D95+D96</f>
        <v>467812.08794624184</v>
      </c>
      <c r="E97" s="102">
        <f t="shared" ref="E97:H97" si="27">E95+E96</f>
        <v>672031.25653892406</v>
      </c>
      <c r="F97" s="102">
        <f t="shared" si="27"/>
        <v>685970.0410002612</v>
      </c>
      <c r="G97" s="102">
        <f t="shared" si="27"/>
        <v>700336.08557601564</v>
      </c>
      <c r="H97" s="103">
        <f t="shared" si="27"/>
        <v>12028182.287248855</v>
      </c>
    </row>
    <row r="98" spans="2:8" ht="15" thickBot="1" x14ac:dyDescent="0.35"/>
    <row r="99" spans="2:8" x14ac:dyDescent="0.3">
      <c r="B99" s="82" t="s">
        <v>60</v>
      </c>
      <c r="C99" s="92">
        <f>NPV(C65,D97:H97)</f>
        <v>9846490.425195137</v>
      </c>
    </row>
    <row r="100" spans="2:8" ht="15" thickBot="1" x14ac:dyDescent="0.35">
      <c r="B100" s="16" t="s">
        <v>61</v>
      </c>
      <c r="C100" s="93">
        <f>C7</f>
        <v>2046700</v>
      </c>
    </row>
    <row r="101" spans="2:8" ht="15" thickBot="1" x14ac:dyDescent="0.35">
      <c r="B101" s="70" t="s">
        <v>47</v>
      </c>
      <c r="C101" s="91">
        <f>C99+C100</f>
        <v>11893190.425195137</v>
      </c>
    </row>
    <row r="102" spans="2:8" ht="15" thickBot="1" x14ac:dyDescent="0.35"/>
    <row r="103" spans="2:8" ht="15" thickBot="1" x14ac:dyDescent="0.35">
      <c r="B103" s="70" t="s">
        <v>73</v>
      </c>
      <c r="C103" s="94">
        <f>C59-C78</f>
        <v>-6.2312429383037937E-9</v>
      </c>
    </row>
    <row r="105" spans="2:8" x14ac:dyDescent="0.3">
      <c r="C105" s="86"/>
    </row>
  </sheetData>
  <mergeCells count="2">
    <mergeCell ref="C3:E3"/>
    <mergeCell ref="F3:J3"/>
  </mergeCells>
  <pageMargins left="0.7" right="0.7" top="0.75" bottom="0.75" header="0.3" footer="0.3"/>
  <pageSetup orientation="portrait" r:id="rId1"/>
  <ignoredErrors>
    <ignoredError sqref="D89 E89:H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Shah</dc:creator>
  <cp:lastModifiedBy>Trupti Shah (She/Her)</cp:lastModifiedBy>
  <dcterms:created xsi:type="dcterms:W3CDTF">2023-10-18T01:41:44Z</dcterms:created>
  <dcterms:modified xsi:type="dcterms:W3CDTF">2026-03-14T08:07:25Z</dcterms:modified>
</cp:coreProperties>
</file>